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9be0d82f342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2bc036610cb4849"/>
    <x:sheet xmlns:r="http://schemas.openxmlformats.org/officeDocument/2006/relationships" name="01_Indicators" sheetId="2" r:id="Ra342ce6afac8432e"/>
    <x:sheet xmlns:r="http://schemas.openxmlformats.org/officeDocument/2006/relationships" name="02_SubIndex_Criteria" sheetId="3" r:id="R016e514f512e4cc2"/>
    <x:sheet xmlns:r="http://schemas.openxmlformats.org/officeDocument/2006/relationships" name="03_Pairwise_Criteria" sheetId="4" r:id="R77c81417731e4b5a"/>
    <x:sheet xmlns:r="http://schemas.openxmlformats.org/officeDocument/2006/relationships" name="04_Pairwise_Capacity" sheetId="5" r:id="Rdfd2c42d2be64d96"/>
    <x:sheet xmlns:r="http://schemas.openxmlformats.org/officeDocument/2006/relationships" name="05_Pairwise_Waste" sheetId="6" r:id="Ra2a3d8c9c6e44ac3"/>
    <x:sheet xmlns:r="http://schemas.openxmlformats.org/officeDocument/2006/relationships" name="06_Pairwise_Leachate" sheetId="7" r:id="Rb1d45cda7f4a4e26"/>
    <x:sheet xmlns:r="http://schemas.openxmlformats.org/officeDocument/2006/relationships" name="07_Fuzzy_Scale" sheetId="8" r:id="R2777e81ce5664c15"/>
    <x:sheet xmlns:r="http://schemas.openxmlformats.org/officeDocument/2006/relationships" name="08_Aggregation" sheetId="9" r:id="R88da40ec93584c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"/>
    <x:numFmt numFmtId="202" formatCode="0.000"/>
    <x:numFmt numFmtId="203" formatCode="0.0000"/>
    <x:numFmt numFmtId="204" formatCode="0.0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3"/>
      <x:color rgb="FF1F4E78"/>
      <x:name val="Carlito"/>
    </x:font>
    <x:font>
      <x:b/>
      <x:sz val="11"/>
      <x:color rgb="FF37562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3891171689493b" /><Relationship Type="http://schemas.openxmlformats.org/officeDocument/2006/relationships/theme" Target="/xl/theme/theme1.xml" Id="R6741c02711d9441f" /><Relationship Type="http://schemas.openxmlformats.org/officeDocument/2006/relationships/sharedStrings" Target="/xl/sharedStrings.xml" Id="Re06716485bda48e8" /><Relationship Type="http://schemas.openxmlformats.org/officeDocument/2006/relationships/worksheet" Target="/xl/worksheets/sheet1.xml" Id="R22bc036610cb4849" /><Relationship Type="http://schemas.openxmlformats.org/officeDocument/2006/relationships/worksheet" Target="/xl/worksheets/sheet2.xml" Id="Ra342ce6afac8432e" /><Relationship Type="http://schemas.openxmlformats.org/officeDocument/2006/relationships/worksheet" Target="/xl/worksheets/sheet3.xml" Id="R016e514f512e4cc2" /><Relationship Type="http://schemas.openxmlformats.org/officeDocument/2006/relationships/worksheet" Target="/xl/worksheets/sheet4.xml" Id="R77c81417731e4b5a" /><Relationship Type="http://schemas.openxmlformats.org/officeDocument/2006/relationships/worksheet" Target="/xl/worksheets/sheet5.xml" Id="Rdfd2c42d2be64d96" /><Relationship Type="http://schemas.openxmlformats.org/officeDocument/2006/relationships/worksheet" Target="/xl/worksheets/sheet6.xml" Id="Ra2a3d8c9c6e44ac3" /><Relationship Type="http://schemas.openxmlformats.org/officeDocument/2006/relationships/worksheet" Target="/xl/worksheets/sheet7.xml" Id="Rb1d45cda7f4a4e26" /><Relationship Type="http://schemas.openxmlformats.org/officeDocument/2006/relationships/worksheet" Target="/xl/worksheets/sheet8.xml" Id="R2777e81ce5664c15" /><Relationship Type="http://schemas.openxmlformats.org/officeDocument/2006/relationships/worksheet" Target="/xl/worksheets/sheet9.xml" Id="R88da40ec93584c21" /></Relationships>
</file>

<file path=xl/tables/table1.xml><?xml version="1.0" encoding="utf-8"?>
<x:table xmlns:x="http://schemas.openxmlformats.org/spreadsheetml/2006/main" id="1" name="IndicatorsTable" displayName="IndicatorsTable" ref="A1:I13" headerRowCount="1">
  <x:tableColumns count="9">
    <x:tableColumn id="1" name="Code"/>
    <x:tableColumn id="2" name="Group"/>
    <x:tableColumn id="3" name="Indicator"/>
    <x:tableColumn id="4" name="Actual Value"/>
    <x:tableColumn id="5" name="Unit"/>
    <x:tableColumn id="6" name="Sub-index"/>
    <x:tableColumn id="7" name="Risk Category"/>
    <x:tableColumn id="8" name="Primary Source"/>
    <x:tableColumn id="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ubIndexCriteriaTable" displayName="SubIndexCriteriaTable" ref="A1:I16" headerRowCount="1">
  <x:tableColumns count="9">
    <x:tableColumn id="1" name="S/N"/>
    <x:tableColumn id="2" name="Code"/>
    <x:tableColumn id="3" name="Attribute"/>
    <x:tableColumn id="4" name="Attribute Weightage"/>
    <x:tableColumn id="5" name="1–25 (Low)"/>
    <x:tableColumn id="6" name="26–50 (Moderate)"/>
    <x:tableColumn id="7" name="51–75 (High)"/>
    <x:tableColumn id="8" name="76–100 (Very High)"/>
    <x:tableColumn id="9" name="Basis/Notes"/>
  </x:tableColumns>
  <x:tableStyleInfo name="TableStyleMedium2" showRowStripes="1"/>
</x:table>
</file>

<file path=xl/tables/table3.xml><?xml version="1.0" encoding="utf-8"?>
<x:table xmlns:x="http://schemas.openxmlformats.org/spreadsheetml/2006/main" id="3" name="FuzzyScaleTable" displayName="FuzzyScaleTable" ref="A1:D10" headerRowCount="1">
  <x:tableColumns count="4">
    <x:tableColumn id="1" name="Saaty Scale"/>
    <x:tableColumn id="2" name="Importance"/>
    <x:tableColumn id="3" name="Triangular Fuzzy Number (l,m,u)"/>
    <x:tableColumn id="4" name="Reciprocal TFN"/>
  </x:tableColumns>
  <x:tableStyleInfo name="TableStyleMedium2" showRowStripes="1"/>
</x:table>
</file>

<file path=xl/tables/table4.xml><?xml version="1.0" encoding="utf-8"?>
<x:table xmlns:x="http://schemas.openxmlformats.org/spreadsheetml/2006/main" id="4" name="AggregationInputTable" displayName="AggregationInputTable" ref="A1:J13" headerRowCount="1">
  <x:tableColumns count="10">
    <x:tableColumn id="1" name="Code"/>
    <x:tableColumn id="2" name="Indicator"/>
    <x:tableColumn id="3" name="Group"/>
    <x:tableColumn id="4" name="Global Weight (fill after Fuzzy AHP)"/>
    <x:tableColumn id="5" name="Actual Value"/>
    <x:tableColumn id="6" name="Unit"/>
    <x:tableColumn id="7" name="Sub-index"/>
    <x:tableColumn id="8" name="Arithmetic Contribution"/>
    <x:tableColumn id="9" name="Geometric Factor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d6079bef3d4f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1126ad883b4e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5b1a479179c74d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4.xml" Id="R27f6095994814f7e" /></Relationships>
</file>

<file path=xl/worksheets/sheet1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77.25" hidden="0" customWidth="1"/>
    <x:col min="3" max="3" width="61.25" hidden="0" customWidth="1"/>
    <x:col min="4" max="4" width="63.25" hidden="0" customWidth="1"/>
    <x:col min="5" max="5" width="92.87999725341797" hidden="0" customWidth="1"/>
    <x:col min="6" max="6" width="66.25" hidden="0" customWidth="1"/>
    <x:col min="7" max="7" width="44" hidden="0" customWidth="1"/>
    <x:col min="8" max="8" width="26.25" hidden="0" customWidth="1"/>
  </x:cols>
  <x:sheetData>
    <x:row r="1">
      <x:c r="A1" s="5" t="str">
        <x:v>Fuzzy AHP + Risk Index Data Preparation Template</x:v>
      </x:c>
    </x:row>
    <x:row r="3">
      <x:c r="A3" s="14" t="str">
        <x:v>Purpose</x:v>
      </x:c>
      <x:c r="B3" s="14" t="str">
        <x:v>How to use</x:v>
      </x:c>
      <x:c r="C3" s="14" t="str">
        <x:v>Main outputs</x:v>
      </x:c>
      <x:c r="D3" s="14" t="str">
        <x:v>Current status</x:v>
      </x:c>
      <x:c r="E3" s="14" t="str">
        <x:v>Important note</x:v>
      </x:c>
      <x:c r="F3" s="14" t="str">
        <x:v>Next step</x:v>
      </x:c>
      <x:c r="G3" s="14" t="str">
        <x:v>Aggregation functions</x:v>
      </x:c>
      <x:c r="H3" s="14" t="str">
        <x:v>Prepared for</x:v>
      </x:c>
    </x:row>
    <x:row r="4">
      <x:c r="A4" s="20" t="str">
        <x:v>Prepare data for adapted IRBA-based landfill risk assessment.</x:v>
      </x:c>
      <x:c r="B4" s="20" t="str">
        <x:v>Fill or revise actual values, sub-index, and pairwise matrices before running calculation in Google Colab.</x:v>
      </x:c>
      <x:c r="C4" s="20" t="str">
        <x:v>Fuzzy AHP weights, sub-index table, RI arithmetic, RI geometric, and risk category.</x:v>
      </x:c>
      <x:c r="D4" s="20" t="str">
        <x:v>Contains provisional actual values from interview, Excel recap, and leachate lab data.</x:v>
      </x:c>
      <x:c r="E4" s="20" t="str">
        <x:v>This is not original 27-parameter IRBA. It is an adapted 12-indicator framework for risk-informed net landfill load forecasting.</x:v>
      </x:c>
      <x:c r="F4" s="20" t="str">
        <x:v>Confirm A2 unit, decide TSS/TDS, finalize pairwise comparison, then compute Fuzzy AHP.</x:v>
      </x:c>
      <x:c r="G4" s="20" t="str">
        <x:v>Weighted arithmetic mean and weighted geometric mean.</x:v>
      </x:c>
      <x:c r="H4" s="20" t="str">
        <x:v>Linggasana/Butus Landfill research</x:v>
      </x:c>
    </x:row>
    <x:row r="6">
      <x:c r="A6" s="14" t="str">
        <x:v>Sheet</x:v>
      </x:c>
      <x:c r="B6" s="14" t="str">
        <x:v>Content</x:v>
      </x:c>
    </x:row>
    <x:row r="7">
      <x:c r="A7" s="20" t="str">
        <x:v>01_Indicators</x:v>
      </x:c>
      <x:c r="B7" s="20" t="str">
        <x:v>12 indicators, actual values, sub-index, source, and notes.</x:v>
      </x:c>
    </x:row>
    <x:row r="8">
      <x:c r="A8" s="20" t="str">
        <x:v>02_SubIndex_Criteria</x:v>
      </x:c>
      <x:c r="B8" s="20" t="str">
        <x:v>Scoring framework / sub-index criteria for 1-25, 26-50, 51-75, and 76-100.</x:v>
      </x:c>
    </x:row>
    <x:row r="9">
      <x:c r="A9" s="20" t="str">
        <x:v>03_Pairwise_Criteria</x:v>
      </x:c>
      <x:c r="B9" s="20" t="str">
        <x:v>Pairwise comparison for three main criteria.</x:v>
      </x:c>
    </x:row>
    <x:row r="10">
      <x:c r="A10" s="20" t="str">
        <x:v>04_Pairwise_Capacity</x:v>
      </x:c>
      <x:c r="B10" s="20" t="str">
        <x:v>Pairwise comparison for A1-A5.</x:v>
      </x:c>
    </x:row>
    <x:row r="11">
      <x:c r="A11" s="20" t="str">
        <x:v>05_Pairwise_Waste</x:v>
      </x:c>
      <x:c r="B11" s="20" t="str">
        <x:v>Pairwise comparison for B1-B3.</x:v>
      </x:c>
    </x:row>
    <x:row r="12">
      <x:c r="A12" s="20" t="str">
        <x:v>06_Pairwise_Leachate</x:v>
      </x:c>
      <x:c r="B12" s="20" t="str">
        <x:v>Pairwise comparison for C1-C4.</x:v>
      </x:c>
    </x:row>
    <x:row r="13">
      <x:c r="A13" s="20" t="str">
        <x:v>07_Fuzzy_Scale</x:v>
      </x:c>
      <x:c r="B13" s="20" t="str">
        <x:v>Saaty scale and triangular fuzzy number conversion.</x:v>
      </x:c>
    </x:row>
    <x:row r="14">
      <x:c r="A14" s="20" t="str">
        <x:v>08_Aggregation</x:v>
      </x:c>
      <x:c r="B14" s="20" t="str">
        <x:v>Template for RI arithmetic and geometric comparison after weights are filled.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40" hidden="0" customWidth="1"/>
    <x:col min="4" max="4" width="18" hidden="0" customWidth="1"/>
    <x:col min="5" max="5" width="18" hidden="0" customWidth="1"/>
    <x:col min="6" max="6" width="12" hidden="0" customWidth="1"/>
    <x:col min="7" max="7" width="16" hidden="0" customWidth="1"/>
    <x:col min="8" max="8" width="26" hidden="0" customWidth="1"/>
    <x:col min="9" max="9" width="55" hidden="0" customWidth="1"/>
  </x:cols>
  <x:sheetData>
    <x:row r="1">
      <x:c r="A1" s="14" t="str">
        <x:v>Code</x:v>
      </x:c>
      <x:c r="B1" s="14" t="str">
        <x:v>Group</x:v>
      </x:c>
      <x:c r="C1" s="14" t="str">
        <x:v>Indicator</x:v>
      </x:c>
      <x:c r="D1" s="14" t="str">
        <x:v>Actual Value</x:v>
      </x:c>
      <x:c r="E1" s="14" t="str">
        <x:v>Unit</x:v>
      </x:c>
      <x:c r="F1" s="14" t="str">
        <x:v>Sub-index</x:v>
      </x:c>
      <x:c r="G1" s="14" t="str">
        <x:v>Risk Category</x:v>
      </x:c>
      <x:c r="H1" s="14" t="str">
        <x:v>Primary Source</x:v>
      </x:c>
      <x:c r="I1" s="14" t="str">
        <x:v>Notes</x:v>
      </x:c>
    </x:row>
    <x:row r="2">
      <x:c r="A2" s="20" t="str">
        <x:v>A1</x:v>
      </x:c>
      <x:c r="B2" s="20" t="str">
        <x:v>Capacity &amp; operational load</x:v>
      </x:c>
      <x:c r="C2" s="20" t="str">
        <x:v>Remaining capacity / overload status</x:v>
      </x:c>
      <x:c r="D2" s="24" t="str">
        <x:v>0 / overload</x:v>
      </x:c>
      <x:c r="E2" s="20" t="str">
        <x:v>-</x:v>
      </x:c>
      <x:c r="F2" s="22" t="n">
        <x:v>100</x:v>
      </x:c>
      <x:c r="G2" s="20" t="str">
        <x:v>Very High</x:v>
      </x:c>
      <x:c r="H2" s="20" t="str">
        <x:v>Field interview</x:v>
      </x:c>
      <x:c r="I2" s="20" t="str">
        <x:v>TPA reported as overloaded and remaining capacity is 0.</x:v>
      </x:c>
    </x:row>
    <x:row r="3">
      <x:c r="A3" s="20" t="str">
        <x:v>A2</x:v>
      </x:c>
      <x:c r="B3" s="20" t="str">
        <x:v>Capacity &amp; operational load</x:v>
      </x:c>
      <x:c r="C3" s="20" t="str">
        <x:v>Accumulated waste / used capacity</x:v>
      </x:c>
      <x:c r="D3" s="24" t="n">
        <x:v>421000</x:v>
      </x:c>
      <x:c r="E3" s="20" t="str">
        <x:v>ton</x:v>
      </x:c>
      <x:c r="F3" s="22" t="n">
        <x:v>75</x:v>
      </x:c>
      <x:c r="G3" s="20" t="str">
        <x:v>High</x:v>
      </x:c>
      <x:c r="H3" s="20" t="str">
        <x:v>Previous IRBA baseline + field confirmation</x:v>
      </x:c>
      <x:c r="I3" s="20" t="str">
        <x:v>Use 421,000 ton as historical Linggasana baseline. Recent field value 80,811.00 still needs unit verification.</x:v>
      </x:c>
    </x:row>
    <x:row r="4">
      <x:c r="A4" s="20" t="str">
        <x:v>A3</x:v>
      </x:c>
      <x:c r="B4" s="20" t="str">
        <x:v>Capacity &amp; operational load</x:v>
      </x:c>
      <x:c r="C4" s="20" t="str">
        <x:v>Waste pile height / depth of filling</x:v>
      </x:c>
      <x:c r="D4" s="24" t="n">
        <x:v>8</x:v>
      </x:c>
      <x:c r="E4" s="20" t="str">
        <x:v>m</x:v>
      </x:c>
      <x:c r="F4" s="22" t="n">
        <x:v>50</x:v>
      </x:c>
      <x:c r="G4" s="20" t="str">
        <x:v>Moderate</x:v>
      </x:c>
      <x:c r="H4" s="20" t="str">
        <x:v>Field interview</x:v>
      </x:c>
      <x:c r="I4" s="20" t="str">
        <x:v>Interview value is 8 m. Previous Linggasana paper noted 10–11 m as historical comparison.</x:v>
      </x:c>
    </x:row>
    <x:row r="5">
      <x:c r="A5" s="20" t="str">
        <x:v>A4</x:v>
      </x:c>
      <x:c r="B5" s="20" t="str">
        <x:v>Capacity &amp; operational load</x:v>
      </x:c>
      <x:c r="C5" s="20" t="str">
        <x:v>Incoming waste pressure</x:v>
      </x:c>
      <x:c r="D5" s="24" t="n">
        <x:v>193</x:v>
      </x:c>
      <x:c r="E5" s="20" t="str">
        <x:v>% of actual treatment capacity</x:v>
      </x:c>
      <x:c r="F5" s="22" t="n">
        <x:v>100</x:v>
      </x:c>
      <x:c r="G5" s="20" t="str">
        <x:v>Very High</x:v>
      </x:c>
      <x:c r="H5" s="20" t="str">
        <x:v>Field interview + Excel recap</x:v>
      </x:c>
      <x:c r="I5" s="20" t="str">
        <x:v>29 ton/day incoming divided by 15 ton/day actual treatment capacity ≈ 193%.</x:v>
      </x:c>
    </x:row>
    <x:row r="6">
      <x:c r="A6" s="20" t="str">
        <x:v>A5</x:v>
      </x:c>
      <x:c r="B6" s="20" t="str">
        <x:v>Capacity &amp; operational load</x:v>
      </x:c>
      <x:c r="C6" s="20" t="str">
        <x:v>Treatment capacity effectiveness</x:v>
      </x:c>
      <x:c r="D6" s="24" t="n">
        <x:v>51.7</x:v>
      </x:c>
      <x:c r="E6" s="20" t="str">
        <x:v>% treated from incoming waste</x:v>
      </x:c>
      <x:c r="F6" s="22" t="n">
        <x:v>50</x:v>
      </x:c>
      <x:c r="G6" s="20" t="str">
        <x:v>Moderate</x:v>
      </x:c>
      <x:c r="H6" s="20" t="str">
        <x:v>Field interview</x:v>
      </x:c>
      <x:c r="I6" s="20" t="str">
        <x:v>15 ton/day actual treatment from about 29 ton/day incoming waste.</x:v>
      </x:c>
    </x:row>
    <x:row r="7">
      <x:c r="A7" s="20" t="str">
        <x:v>B1</x:v>
      </x:c>
      <x:c r="B7" s="20" t="str">
        <x:v>Waste characteristics</x:v>
      </x:c>
      <x:c r="C7" s="20" t="str">
        <x:v>Organic / biodegradable fraction</x:v>
      </x:c>
      <x:c r="D7" s="24" t="n">
        <x:v>32.4</x:v>
      </x:c>
      <x:c r="E7" s="20" t="str">
        <x:v>%</x:v>
      </x:c>
      <x:c r="F7" s="22" t="n">
        <x:v>75</x:v>
      </x:c>
      <x:c r="G7" s="20" t="str">
        <x:v>High</x:v>
      </x:c>
      <x:c r="H7" s="20" t="str">
        <x:v>Excel recap</x:v>
      </x:c>
      <x:c r="I7" s="20" t="str">
        <x:v>9.16 ton/day organic from total 28.273 ton/day.</x:v>
      </x:c>
    </x:row>
    <x:row r="8">
      <x:c r="A8" s="20" t="str">
        <x:v>B2</x:v>
      </x:c>
      <x:c r="B8" s="20" t="str">
        <x:v>Waste characteristics</x:v>
      </x:c>
      <x:c r="C8" s="20" t="str">
        <x:v>Residual fraction</x:v>
      </x:c>
      <x:c r="D8" s="24" t="n">
        <x:v>44.8</x:v>
      </x:c>
      <x:c r="E8" s="20" t="str">
        <x:v>%</x:v>
      </x:c>
      <x:c r="F8" s="22" t="n">
        <x:v>75</x:v>
      </x:c>
      <x:c r="G8" s="20" t="str">
        <x:v>High</x:v>
      </x:c>
      <x:c r="H8" s="20" t="str">
        <x:v>Field interview</x:v>
      </x:c>
      <x:c r="I8" s="20" t="str">
        <x:v>13 ton/day residual from 29 ton/day incoming waste.</x:v>
      </x:c>
    </x:row>
    <x:row r="9">
      <x:c r="A9" s="20" t="str">
        <x:v>B3</x:v>
      </x:c>
      <x:c r="B9" s="20" t="str">
        <x:v>Waste characteristics</x:v>
      </x:c>
      <x:c r="C9" s="20" t="str">
        <x:v>Inorganic / recyclable fraction not fully diverted</x:v>
      </x:c>
      <x:c r="D9" s="24" t="n">
        <x:v>67.6</x:v>
      </x:c>
      <x:c r="E9" s="20" t="str">
        <x:v>%</x:v>
      </x:c>
      <x:c r="F9" s="22" t="n">
        <x:v>75</x:v>
      </x:c>
      <x:c r="G9" s="20" t="str">
        <x:v>High</x:v>
      </x:c>
      <x:c r="H9" s="20" t="str">
        <x:v>Excel recap</x:v>
      </x:c>
      <x:c r="I9" s="20" t="str">
        <x:v>19.11 ton/day inorganic from total 28.273 ton/day. Keep at 75 unless diversion/recycling is confirmed low.</x:v>
      </x:c>
    </x:row>
    <x:row r="10">
      <x:c r="A10" s="20" t="str">
        <x:v>C1</x:v>
      </x:c>
      <x:c r="B10" s="20" t="str">
        <x:v>Leachate quality</x:v>
      </x:c>
      <x:c r="C10" s="20" t="str">
        <x:v>BOD inlet</x:v>
      </x:c>
      <x:c r="D10" s="24" t="n">
        <x:v>438</x:v>
      </x:c>
      <x:c r="E10" s="20" t="str">
        <x:v>mg/L</x:v>
      </x:c>
      <x:c r="F10" s="22" t="n">
        <x:v>100</x:v>
      </x:c>
      <x:c r="G10" s="20" t="str">
        <x:v>Very High</x:v>
      </x:c>
      <x:c r="H10" s="20" t="str">
        <x:v>Recent leachate lab test</x:v>
      </x:c>
      <x:c r="I10" s="20" t="str">
        <x:v>Exceeds lab standard and IRBA BOD &gt;100 mg/L high sensitivity threshold.</x:v>
      </x:c>
    </x:row>
    <x:row r="11">
      <x:c r="A11" s="20" t="str">
        <x:v>C2</x:v>
      </x:c>
      <x:c r="B11" s="20" t="str">
        <x:v>Leachate quality</x:v>
      </x:c>
      <x:c r="C11" s="20" t="str">
        <x:v>COD inlet</x:v>
      </x:c>
      <x:c r="D11" s="24" t="n">
        <x:v>774</x:v>
      </x:c>
      <x:c r="E11" s="20" t="str">
        <x:v>mg/L</x:v>
      </x:c>
      <x:c r="F11" s="22" t="n">
        <x:v>100</x:v>
      </x:c>
      <x:c r="G11" s="20" t="str">
        <x:v>Very High</x:v>
      </x:c>
      <x:c r="H11" s="20" t="str">
        <x:v>Recent leachate lab test</x:v>
      </x:c>
      <x:c r="I11" s="20" t="str">
        <x:v>Exceeds lab standard and IRBA COD &gt;500 mg/L high sensitivity threshold.</x:v>
      </x:c>
    </x:row>
    <x:row r="12">
      <x:c r="A12" s="20" t="str">
        <x:v>C3</x:v>
      </x:c>
      <x:c r="B12" s="20" t="str">
        <x:v>Leachate quality</x:v>
      </x:c>
      <x:c r="C12" s="20" t="str">
        <x:v>TSS inlet / adapted solid parameter</x:v>
      </x:c>
      <x:c r="D12" s="24" t="n">
        <x:v>42</x:v>
      </x:c>
      <x:c r="E12" s="20" t="str">
        <x:v>mg/L</x:v>
      </x:c>
      <x:c r="F12" s="22" t="n">
        <x:v>25</x:v>
      </x:c>
      <x:c r="G12" s="20" t="str">
        <x:v>Low</x:v>
      </x:c>
      <x:c r="H12" s="20" t="str">
        <x:v>Recent leachate lab test</x:v>
      </x:c>
      <x:c r="I12" s="20" t="str">
        <x:v>TSS used as adaptation because recent TDS was unavailable. Replace with TDS if available.</x:v>
      </x:c>
    </x:row>
    <x:row r="13">
      <x:c r="A13" s="20" t="str">
        <x:v>C4</x:v>
      </x:c>
      <x:c r="B13" s="20" t="str">
        <x:v>Leachate quality</x:v>
      </x:c>
      <x:c r="C13" s="20" t="str">
        <x:v>pH inlet</x:v>
      </x:c>
      <x:c r="D13" s="24" t="n">
        <x:v>8.4</x:v>
      </x:c>
      <x:c r="E13" s="20" t="str">
        <x:v>-</x:v>
      </x:c>
      <x:c r="F13" s="22" t="n">
        <x:v>25</x:v>
      </x:c>
      <x:c r="G13" s="20" t="str">
        <x:v>Low</x:v>
      </x:c>
      <x:c r="H13" s="20" t="str">
        <x:v>Recent leachate lab test</x:v>
      </x:c>
      <x:c r="I13" s="20" t="str">
        <x:v>pH remains within typical 6–9 regulatory range.</x:v>
      </x:c>
    </x:row>
  </x:sheetData>
  <x:conditionalFormatting sqref="F2:F13">
    <x:cfRule type="cellIs" dxfId="0" priority="1" operator="greaterThanOrEqual">
      <x:formula>76</x:formula>
    </x:cfRule>
    <x:cfRule type="cellIs" dxfId="1" priority="2" operator="between">
      <x:formula>51</x:formula>
    </x:cfRule>
    <x:cfRule type="cellIs" dxfId="2" priority="3" operator="between">
      <x:formula>26</x:formula>
    </x:cfRule>
    <x:cfRule type="cellIs" dxfId="3" priority="4" operator="lessThanOrEqual">
      <x:formula>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d6079bef3d4f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42" hidden="0" customWidth="1"/>
    <x:col min="4" max="4" width="16" hidden="0" customWidth="1"/>
    <x:col min="5" max="5" width="25" hidden="0" customWidth="1"/>
    <x:col min="6" max="6" width="25" hidden="0" customWidth="1"/>
    <x:col min="7" max="7" width="25" hidden="0" customWidth="1"/>
    <x:col min="8" max="8" width="28" hidden="0" customWidth="1"/>
    <x:col min="9" max="9" width="42" hidden="0" customWidth="1"/>
  </x:cols>
  <x:sheetData>
    <x:row r="1">
      <x:c r="A1" s="14" t="str">
        <x:v>S/N</x:v>
      </x:c>
      <x:c r="B1" s="14" t="str">
        <x:v>Code</x:v>
      </x:c>
      <x:c r="C1" s="14" t="str">
        <x:v>Attribute</x:v>
      </x:c>
      <x:c r="D1" s="14" t="str">
        <x:v>Attribute Weightage</x:v>
      </x:c>
      <x:c r="E1" s="14" t="str">
        <x:v>1–25 (Low)</x:v>
      </x:c>
      <x:c r="F1" s="14" t="str">
        <x:v>26–50 (Moderate)</x:v>
      </x:c>
      <x:c r="G1" s="14" t="str">
        <x:v>51–75 (High)</x:v>
      </x:c>
      <x:c r="H1" s="14" t="str">
        <x:v>76–100 (Very High)</x:v>
      </x:c>
      <x:c r="I1" s="14" t="str">
        <x:v>Basis/Notes</x:v>
      </x:c>
    </x:row>
    <x:row r="2">
      <x:c r="A2" s="34" t="str">
        <x:v>I</x:v>
      </x:c>
      <x:c r="B2" s="34" t="str"/>
      <x:c r="C2" s="34" t="str">
        <x:v>Landfill capacity and operational load criteria</x:v>
      </x:c>
      <x:c r="D2" s="34" t="str"/>
      <x:c r="E2" s="34" t="str"/>
      <x:c r="F2" s="34" t="str"/>
      <x:c r="G2" s="34" t="str"/>
      <x:c r="H2" s="34" t="str"/>
      <x:c r="I2" s="34" t="str"/>
    </x:row>
    <x:row r="3">
      <x:c r="A3" s="20" t="n">
        <x:v>1</x:v>
      </x:c>
      <x:c r="B3" s="20" t="str">
        <x:v>A1</x:v>
      </x:c>
      <x:c r="C3" s="20" t="str">
        <x:v>Remaining landfill capacity / overload status (%)</x:v>
      </x:c>
      <x:c r="D3" s="20" t="str">
        <x:v>wi</x:v>
      </x:c>
      <x:c r="E3" s="20" t="str">
        <x:v>&gt;50% remaining capacity</x:v>
      </x:c>
      <x:c r="F3" s="20" t="str">
        <x:v>25–50% remaining capacity</x:v>
      </x:c>
      <x:c r="G3" s="20" t="str">
        <x:v>0–25% remaining capacity</x:v>
      </x:c>
      <x:c r="H3" s="20" t="str">
        <x:v>0% remaining capacity / overload</x:v>
      </x:c>
      <x:c r="I3" s="20" t="str">
        <x:v>Adapted from capacity and life-of-site risk logic.</x:v>
      </x:c>
    </x:row>
    <x:row r="4">
      <x:c r="A4" s="20" t="n">
        <x:v>2</x:v>
      </x:c>
      <x:c r="B4" s="20" t="str">
        <x:v>A2</x:v>
      </x:c>
      <x:c r="C4" s="20" t="str">
        <x:v>Accumulated waste / total quantity of waste at site (tons)</x:v>
      </x:c>
      <x:c r="D4" s="20" t="str">
        <x:v>wi</x:v>
      </x:c>
      <x:c r="E4" s="20" t="str">
        <x:v>&lt;10^4</x:v>
      </x:c>
      <x:c r="F4" s="20" t="str">
        <x:v>10^4–10^5</x:v>
      </x:c>
      <x:c r="G4" s="20" t="str">
        <x:v>10^5–10^6</x:v>
      </x:c>
      <x:c r="H4" s="20" t="str">
        <x:v>&gt;10^6</x:v>
      </x:c>
      <x:c r="I4" s="20" t="str">
        <x:v>Aligned with IRBA total quantity of waste at site.</x:v>
      </x:c>
    </x:row>
    <x:row r="5">
      <x:c r="A5" s="20" t="n">
        <x:v>3</x:v>
      </x:c>
      <x:c r="B5" s="20" t="str">
        <x:v>A3</x:v>
      </x:c>
      <x:c r="C5" s="20" t="str">
        <x:v>Waste pile height / depth of filling of waste (m)</x:v>
      </x:c>
      <x:c r="D5" s="20" t="str">
        <x:v>wi</x:v>
      </x:c>
      <x:c r="E5" s="20" t="str">
        <x:v>&lt;3</x:v>
      </x:c>
      <x:c r="F5" s="20" t="str">
        <x:v>3–10</x:v>
      </x:c>
      <x:c r="G5" s="20" t="str">
        <x:v>10–20</x:v>
      </x:c>
      <x:c r="H5" s="20" t="str">
        <x:v>&gt;20</x:v>
      </x:c>
      <x:c r="I5" s="20" t="str">
        <x:v>Aligned with IRBA depth of filling.</x:v>
      </x:c>
    </x:row>
    <x:row r="6">
      <x:c r="A6" s="20" t="n">
        <x:v>4</x:v>
      </x:c>
      <x:c r="B6" s="20" t="str">
        <x:v>A4</x:v>
      </x:c>
      <x:c r="C6" s="20" t="str">
        <x:v>Incoming waste pressure, based on incoming waste to treatment capacity ratio (%)</x:v>
      </x:c>
      <x:c r="D6" s="20" t="str">
        <x:v>wi</x:v>
      </x:c>
      <x:c r="E6" s="20" t="str">
        <x:v>&lt;75%</x:v>
      </x:c>
      <x:c r="F6" s="20" t="str">
        <x:v>75–100%</x:v>
      </x:c>
      <x:c r="G6" s="20" t="str">
        <x:v>100–150%</x:v>
      </x:c>
      <x:c r="H6" s="20" t="str">
        <x:v>&gt;150%</x:v>
      </x:c>
      <x:c r="I6" s="20" t="str">
        <x:v>Adapted for active/overloaded landfill load pressure.</x:v>
      </x:c>
    </x:row>
    <x:row r="7">
      <x:c r="A7" s="20" t="n">
        <x:v>5</x:v>
      </x:c>
      <x:c r="B7" s="20" t="str">
        <x:v>A5</x:v>
      </x:c>
      <x:c r="C7" s="20" t="str">
        <x:v>Treatment capacity effectiveness, based on treated waste to incoming waste ratio (%)</x:v>
      </x:c>
      <x:c r="D7" s="20" t="str">
        <x:v>wi</x:v>
      </x:c>
      <x:c r="E7" s="20" t="str">
        <x:v>&gt;75%</x:v>
      </x:c>
      <x:c r="F7" s="20" t="str">
        <x:v>50–75%</x:v>
      </x:c>
      <x:c r="G7" s="20" t="str">
        <x:v>25–50%</x:v>
      </x:c>
      <x:c r="H7" s="20" t="str">
        <x:v>&lt;25%</x:v>
      </x:c>
      <x:c r="I7" s="20" t="str">
        <x:v>Lower treatment effectiveness means higher risk.</x:v>
      </x:c>
    </x:row>
    <x:row r="8">
      <x:c r="A8" s="34" t="str">
        <x:v>II</x:v>
      </x:c>
      <x:c r="B8" s="34" t="str"/>
      <x:c r="C8" s="34" t="str">
        <x:v>Waste characteristics criteria</x:v>
      </x:c>
      <x:c r="D8" s="34" t="str"/>
      <x:c r="E8" s="34" t="str"/>
      <x:c r="F8" s="34" t="str"/>
      <x:c r="G8" s="34" t="str"/>
      <x:c r="H8" s="34" t="str"/>
      <x:c r="I8" s="34" t="str"/>
    </x:row>
    <x:row r="9">
      <x:c r="A9" s="20" t="n">
        <x:v>6</x:v>
      </x:c>
      <x:c r="B9" s="20" t="str">
        <x:v>B1</x:v>
      </x:c>
      <x:c r="C9" s="20" t="str">
        <x:v>Organic / biodegradable fraction of waste (%)</x:v>
      </x:c>
      <x:c r="D9" s="20" t="str">
        <x:v>wi</x:v>
      </x:c>
      <x:c r="E9" s="20" t="str">
        <x:v>&lt;10</x:v>
      </x:c>
      <x:c r="F9" s="20" t="str">
        <x:v>10–30</x:v>
      </x:c>
      <x:c r="G9" s="20" t="str">
        <x:v>30–60</x:v>
      </x:c>
      <x:c r="H9" s="20" t="str">
        <x:v>60–100</x:v>
      </x:c>
      <x:c r="I9" s="20" t="str">
        <x:v>Aligned with IRBA biodegradable fraction.</x:v>
      </x:c>
    </x:row>
    <x:row r="10">
      <x:c r="A10" s="20" t="n">
        <x:v>7</x:v>
      </x:c>
      <x:c r="B10" s="20" t="str">
        <x:v>B2</x:v>
      </x:c>
      <x:c r="C10" s="20" t="str">
        <x:v>Residual waste fraction (%)</x:v>
      </x:c>
      <x:c r="D10" s="20" t="str">
        <x:v>wi</x:v>
      </x:c>
      <x:c r="E10" s="20" t="str">
        <x:v>&lt;20</x:v>
      </x:c>
      <x:c r="F10" s="20" t="str">
        <x:v>20–40</x:v>
      </x:c>
      <x:c r="G10" s="20" t="str">
        <x:v>40–60</x:v>
      </x:c>
      <x:c r="H10" s="20" t="str">
        <x:v>&gt;60</x:v>
      </x:c>
      <x:c r="I10" s="20" t="str">
        <x:v>Adapted for net landfill load pressure.</x:v>
      </x:c>
    </x:row>
    <x:row r="11">
      <x:c r="A11" s="20" t="n">
        <x:v>8</x:v>
      </x:c>
      <x:c r="B11" s="20" t="str">
        <x:v>B3</x:v>
      </x:c>
      <x:c r="C11" s="20" t="str">
        <x:v>Inorganic / recyclable fraction not fully diverted (%)</x:v>
      </x:c>
      <x:c r="D11" s="20" t="str">
        <x:v>wi</x:v>
      </x:c>
      <x:c r="E11" s="20" t="str">
        <x:v>&lt;20</x:v>
      </x:c>
      <x:c r="F11" s="20" t="str">
        <x:v>20–40</x:v>
      </x:c>
      <x:c r="G11" s="20" t="str">
        <x:v>40–60</x:v>
      </x:c>
      <x:c r="H11" s="20" t="str">
        <x:v>&gt;60</x:v>
      </x:c>
      <x:c r="I11" s="20" t="str">
        <x:v>Adapted for diversion/recycling pressure.</x:v>
      </x:c>
    </x:row>
    <x:row r="12">
      <x:c r="A12" s="34" t="str">
        <x:v>III</x:v>
      </x:c>
      <x:c r="B12" s="34" t="str"/>
      <x:c r="C12" s="34" t="str">
        <x:v>Leachate quality criteria</x:v>
      </x:c>
      <x:c r="D12" s="34" t="str"/>
      <x:c r="E12" s="34" t="str"/>
      <x:c r="F12" s="34" t="str"/>
      <x:c r="G12" s="34" t="str"/>
      <x:c r="H12" s="34" t="str"/>
      <x:c r="I12" s="34" t="str"/>
    </x:row>
    <x:row r="13">
      <x:c r="A13" s="20" t="n">
        <x:v>9</x:v>
      </x:c>
      <x:c r="B13" s="20" t="str">
        <x:v>C1</x:v>
      </x:c>
      <x:c r="C13" s="20" t="str">
        <x:v>BOD of leachate (mg/L)</x:v>
      </x:c>
      <x:c r="D13" s="20" t="str">
        <x:v>wi</x:v>
      </x:c>
      <x:c r="E13" s="20" t="str">
        <x:v>&lt;30</x:v>
      </x:c>
      <x:c r="F13" s="20" t="str">
        <x:v>30–60</x:v>
      </x:c>
      <x:c r="G13" s="20" t="str">
        <x:v>60–100</x:v>
      </x:c>
      <x:c r="H13" s="20" t="str">
        <x:v>&gt;100</x:v>
      </x:c>
      <x:c r="I13" s="20" t="str">
        <x:v>Aligned with IRBA BOD.</x:v>
      </x:c>
    </x:row>
    <x:row r="14">
      <x:c r="A14" s="20" t="n">
        <x:v>10</x:v>
      </x:c>
      <x:c r="B14" s="20" t="str">
        <x:v>C2</x:v>
      </x:c>
      <x:c r="C14" s="20" t="str">
        <x:v>COD of leachate (mg/L)</x:v>
      </x:c>
      <x:c r="D14" s="20" t="str">
        <x:v>wi</x:v>
      </x:c>
      <x:c r="E14" s="20" t="str">
        <x:v>&lt;250</x:v>
      </x:c>
      <x:c r="F14" s="20" t="str">
        <x:v>250–350</x:v>
      </x:c>
      <x:c r="G14" s="20" t="str">
        <x:v>350–500</x:v>
      </x:c>
      <x:c r="H14" s="20" t="str">
        <x:v>&gt;500</x:v>
      </x:c>
      <x:c r="I14" s="20" t="str">
        <x:v>Aligned with IRBA COD.</x:v>
      </x:c>
    </x:row>
    <x:row r="15">
      <x:c r="A15" s="20" t="n">
        <x:v>11</x:v>
      </x:c>
      <x:c r="B15" s="20" t="str">
        <x:v>C3</x:v>
      </x:c>
      <x:c r="C15" s="20" t="str">
        <x:v>TSS of leachate (mg/L), adapted from available laboratory data</x:v>
      </x:c>
      <x:c r="D15" s="20" t="str">
        <x:v>wi</x:v>
      </x:c>
      <x:c r="E15" s="20" t="str">
        <x:v>&lt;100</x:v>
      </x:c>
      <x:c r="F15" s="20" t="str">
        <x:v>100–150</x:v>
      </x:c>
      <x:c r="G15" s="20" t="str">
        <x:v>150–200</x:v>
      </x:c>
      <x:c r="H15" s="20" t="str">
        <x:v>&gt;200</x:v>
      </x:c>
      <x:c r="I15" s="20" t="str">
        <x:v>TSS replaces TDS only when recent TDS is unavailable.</x:v>
      </x:c>
    </x:row>
    <x:row r="16">
      <x:c r="A16" s="20" t="n">
        <x:v>12</x:v>
      </x:c>
      <x:c r="B16" s="20" t="str">
        <x:v>C4</x:v>
      </x:c>
      <x:c r="C16" s="20" t="str">
        <x:v>pH of leachate</x:v>
      </x:c>
      <x:c r="D16" s="20" t="str">
        <x:v>wi</x:v>
      </x:c>
      <x:c r="E16" s="20" t="str">
        <x:v>6–9</x:v>
      </x:c>
      <x:c r="F16" s="20" t="str">
        <x:v>5–6 or 9–10</x:v>
      </x:c>
      <x:c r="G16" s="20" t="str">
        <x:v>4–5 or 10–11</x:v>
      </x:c>
      <x:c r="H16" s="20" t="str">
        <x:v>&lt;4 or &gt;11</x:v>
      </x:c>
      <x:c r="I16" s="20" t="str">
        <x:v>Adapted from common wastewater pH compliance range.</x:v>
      </x:c>
    </x:row>
  </x:sheetData>
  <x:pageMargins left="0.7" right="0.7" top="0.75" bottom="0.75" header="0.3" footer="0.3"/>
  <x:tableParts count="1">
    <x:tablePart xmlns:r="http://schemas.openxmlformats.org/officeDocument/2006/relationships" r:id="Ra81126ad883b4e7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36" t="str">
        <x:v>03 Pairwise Criteria</x:v>
      </x:c>
    </x:row>
    <x:row r="3">
      <x:c r="A3" s="14" t="str"/>
      <x:c r="B3" s="14" t="str">
        <x:v>Capacity_Load</x:v>
      </x:c>
      <x:c r="C3" s="14" t="str">
        <x:v>Waste_Characteristics</x:v>
      </x:c>
      <x:c r="D3" s="14" t="str">
        <x:v>Leachate_Quality</x:v>
      </x:c>
    </x:row>
    <x:row r="4">
      <x:c r="A4" s="42" t="str">
        <x:v>Capacity_Load</x:v>
      </x:c>
      <x:c r="B4" s="48" t="n">
        <x:v>1</x:v>
      </x:c>
      <x:c r="C4" s="48" t="n">
        <x:v>3</x:v>
      </x:c>
      <x:c r="D4" s="48" t="n">
        <x:v>2</x:v>
      </x:c>
    </x:row>
    <x:row r="5">
      <x:c r="A5" s="42" t="str">
        <x:v>Waste_Characteristics</x:v>
      </x:c>
      <x:c r="B5" s="48" t="n">
        <x:v>0.3333333333333333</x:v>
      </x:c>
      <x:c r="C5" s="48" t="n">
        <x:v>1</x:v>
      </x:c>
      <x:c r="D5" s="48" t="n">
        <x:v>0.5</x:v>
      </x:c>
    </x:row>
    <x:row r="6">
      <x:c r="A6" s="42" t="str">
        <x:v>Leachate_Quality</x:v>
      </x:c>
      <x:c r="B6" s="48" t="n">
        <x:v>0.5</x:v>
      </x:c>
      <x:c r="C6" s="48" t="n">
        <x:v>2</x:v>
      </x:c>
      <x:c r="D6" s="48" t="n">
        <x:v>1</x:v>
      </x:c>
    </x:row>
    <x:row r="9">
      <x:c r="A9" s="14" t="str">
        <x:v>Input notes</x:v>
      </x:c>
      <x:c r="B9" s="14" t="str">
        <x:v>Recommended action</x:v>
      </x:c>
      <x:c r="C9" s="14" t="str">
        <x:v>Scale guide</x:v>
      </x:c>
    </x:row>
    <x:row r="10">
      <x:c r="A10" s="20" t="str">
        <x:v>These values are provisional literature-informed judgments. Revise after expert confirmation.</x:v>
      </x:c>
      <x:c r="B10" s="20" t="str">
        <x:v>Keep reciprocal values consistent. If A vs B = 3, then B vs A = 1/3.</x:v>
      </x:c>
      <x:c r="C10" s="20" t="str">
        <x:v>1=same importance; 2=low preference; 3=medium; 5=fairly important; 7=strongly; 9=absolutely.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36" t="str">
        <x:v>04 Pairwise Capacity</x:v>
      </x:c>
    </x:row>
    <x:row r="3">
      <x:c r="A3" s="14" t="str"/>
      <x:c r="B3" s="14" t="str">
        <x:v>A1_Remaining</x:v>
      </x:c>
      <x:c r="C3" s="14" t="str">
        <x:v>A2_Accumulated</x:v>
      </x:c>
      <x:c r="D3" s="14" t="str">
        <x:v>A3_Height</x:v>
      </x:c>
      <x:c r="E3" s="14" t="str">
        <x:v>A4_IncomingPressure</x:v>
      </x:c>
      <x:c r="F3" s="14" t="str">
        <x:v>A5_TreatmentEff</x:v>
      </x:c>
    </x:row>
    <x:row r="4">
      <x:c r="A4" s="42" t="str">
        <x:v>A1_Remaining</x:v>
      </x:c>
      <x:c r="B4" s="48" t="n">
        <x:v>1</x:v>
      </x:c>
      <x:c r="C4" s="48" t="n">
        <x:v>2</x:v>
      </x:c>
      <x:c r="D4" s="48" t="n">
        <x:v>3</x:v>
      </x:c>
      <x:c r="E4" s="48" t="n">
        <x:v>2</x:v>
      </x:c>
      <x:c r="F4" s="48" t="n">
        <x:v>3</x:v>
      </x:c>
    </x:row>
    <x:row r="5">
      <x:c r="A5" s="42" t="str">
        <x:v>A2_Accumulated</x:v>
      </x:c>
      <x:c r="B5" s="48" t="n">
        <x:v>0.5</x:v>
      </x:c>
      <x:c r="C5" s="48" t="n">
        <x:v>1</x:v>
      </x:c>
      <x:c r="D5" s="48" t="n">
        <x:v>2</x:v>
      </x:c>
      <x:c r="E5" s="48" t="n">
        <x:v>1</x:v>
      </x:c>
      <x:c r="F5" s="48" t="n">
        <x:v>2</x:v>
      </x:c>
    </x:row>
    <x:row r="6">
      <x:c r="A6" s="42" t="str">
        <x:v>A3_Height</x:v>
      </x:c>
      <x:c r="B6" s="48" t="n">
        <x:v>0.3333333333333333</x:v>
      </x:c>
      <x:c r="C6" s="48" t="n">
        <x:v>0.5</x:v>
      </x:c>
      <x:c r="D6" s="48" t="n">
        <x:v>1</x:v>
      </x:c>
      <x:c r="E6" s="48" t="n">
        <x:v>0.5</x:v>
      </x:c>
      <x:c r="F6" s="48" t="n">
        <x:v>1</x:v>
      </x:c>
    </x:row>
    <x:row r="7">
      <x:c r="A7" s="42" t="str">
        <x:v>A4_IncomingPressure</x:v>
      </x:c>
      <x:c r="B7" s="48" t="n">
        <x:v>0.5</x:v>
      </x:c>
      <x:c r="C7" s="48" t="n">
        <x:v>1</x:v>
      </x:c>
      <x:c r="D7" s="48" t="n">
        <x:v>2</x:v>
      </x:c>
      <x:c r="E7" s="48" t="n">
        <x:v>1</x:v>
      </x:c>
      <x:c r="F7" s="48" t="n">
        <x:v>2</x:v>
      </x:c>
    </x:row>
    <x:row r="8">
      <x:c r="A8" s="42" t="str">
        <x:v>A5_TreatmentEff</x:v>
      </x:c>
      <x:c r="B8" s="48" t="n">
        <x:v>0.3333333333333333</x:v>
      </x:c>
      <x:c r="C8" s="48" t="n">
        <x:v>0.5</x:v>
      </x:c>
      <x:c r="D8" s="48" t="n">
        <x:v>1</x:v>
      </x:c>
      <x:c r="E8" s="48" t="n">
        <x:v>0.5</x:v>
      </x:c>
      <x:c r="F8" s="48" t="n">
        <x:v>1</x:v>
      </x:c>
    </x:row>
    <x:row r="11">
      <x:c r="A11" s="14" t="str">
        <x:v>Input notes</x:v>
      </x:c>
      <x:c r="B11" s="14" t="str">
        <x:v>Recommended action</x:v>
      </x:c>
      <x:c r="C11" s="14" t="str">
        <x:v>Scale guide</x:v>
      </x:c>
    </x:row>
    <x:row r="12">
      <x:c r="A12" s="20" t="str">
        <x:v>These values are provisional literature-informed judgments. Revise after expert confirmation.</x:v>
      </x:c>
      <x:c r="B12" s="20" t="str">
        <x:v>Keep reciprocal values consistent. If A vs B = 3, then B vs A = 1/3.</x:v>
      </x:c>
      <x:c r="C12" s="20" t="str">
        <x:v>1=same importance; 2=low preference; 3=medium; 5=fairly important; 7=strongly; 9=absolutely.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36" t="str">
        <x:v>05 Pairwise Waste</x:v>
      </x:c>
    </x:row>
    <x:row r="3">
      <x:c r="A3" s="14" t="str"/>
      <x:c r="B3" s="14" t="str">
        <x:v>B1_Organic</x:v>
      </x:c>
      <x:c r="C3" s="14" t="str">
        <x:v>B2_Residual</x:v>
      </x:c>
      <x:c r="D3" s="14" t="str">
        <x:v>B3_Inorganic</x:v>
      </x:c>
    </x:row>
    <x:row r="4">
      <x:c r="A4" s="42" t="str">
        <x:v>B1_Organic</x:v>
      </x:c>
      <x:c r="B4" s="48" t="n">
        <x:v>1</x:v>
      </x:c>
      <x:c r="C4" s="48" t="n">
        <x:v>0.5</x:v>
      </x:c>
      <x:c r="D4" s="48" t="n">
        <x:v>2</x:v>
      </x:c>
    </x:row>
    <x:row r="5">
      <x:c r="A5" s="42" t="str">
        <x:v>B2_Residual</x:v>
      </x:c>
      <x:c r="B5" s="48" t="n">
        <x:v>2</x:v>
      </x:c>
      <x:c r="C5" s="48" t="n">
        <x:v>1</x:v>
      </x:c>
      <x:c r="D5" s="48" t="n">
        <x:v>3</x:v>
      </x:c>
    </x:row>
    <x:row r="6">
      <x:c r="A6" s="42" t="str">
        <x:v>B3_Inorganic</x:v>
      </x:c>
      <x:c r="B6" s="48" t="n">
        <x:v>0.5</x:v>
      </x:c>
      <x:c r="C6" s="48" t="n">
        <x:v>0.3333333333333333</x:v>
      </x:c>
      <x:c r="D6" s="48" t="n">
        <x:v>1</x:v>
      </x:c>
    </x:row>
    <x:row r="9">
      <x:c r="A9" s="14" t="str">
        <x:v>Input notes</x:v>
      </x:c>
      <x:c r="B9" s="14" t="str">
        <x:v>Recommended action</x:v>
      </x:c>
      <x:c r="C9" s="14" t="str">
        <x:v>Scale guide</x:v>
      </x:c>
    </x:row>
    <x:row r="10">
      <x:c r="A10" s="20" t="str">
        <x:v>These values are provisional literature-informed judgments. Revise after expert confirmation.</x:v>
      </x:c>
      <x:c r="B10" s="20" t="str">
        <x:v>Keep reciprocal values consistent. If A vs B = 3, then B vs A = 1/3.</x:v>
      </x:c>
      <x:c r="C10" s="20" t="str">
        <x:v>1=same importance; 2=low preference; 3=medium; 5=fairly important; 7=strongly; 9=absolutely.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36" t="str">
        <x:v>06 Pairwise Leachate</x:v>
      </x:c>
    </x:row>
    <x:row r="3">
      <x:c r="A3" s="14" t="str"/>
      <x:c r="B3" s="14" t="str">
        <x:v>C1_BOD</x:v>
      </x:c>
      <x:c r="C3" s="14" t="str">
        <x:v>C2_COD</x:v>
      </x:c>
      <x:c r="D3" s="14" t="str">
        <x:v>C3_TSS</x:v>
      </x:c>
      <x:c r="E3" s="14" t="str">
        <x:v>C4_pH</x:v>
      </x:c>
    </x:row>
    <x:row r="4">
      <x:c r="A4" s="42" t="str">
        <x:v>C1_BOD</x:v>
      </x:c>
      <x:c r="B4" s="48" t="n">
        <x:v>1</x:v>
      </x:c>
      <x:c r="C4" s="48" t="n">
        <x:v>0.5</x:v>
      </x:c>
      <x:c r="D4" s="48" t="n">
        <x:v>3</x:v>
      </x:c>
      <x:c r="E4" s="48" t="n">
        <x:v>5</x:v>
      </x:c>
    </x:row>
    <x:row r="5">
      <x:c r="A5" s="42" t="str">
        <x:v>C2_COD</x:v>
      </x:c>
      <x:c r="B5" s="48" t="n">
        <x:v>2</x:v>
      </x:c>
      <x:c r="C5" s="48" t="n">
        <x:v>1</x:v>
      </x:c>
      <x:c r="D5" s="48" t="n">
        <x:v>3</x:v>
      </x:c>
      <x:c r="E5" s="48" t="n">
        <x:v>5</x:v>
      </x:c>
    </x:row>
    <x:row r="6">
      <x:c r="A6" s="42" t="str">
        <x:v>C3_TSS</x:v>
      </x:c>
      <x:c r="B6" s="48" t="n">
        <x:v>0.3333333333333333</x:v>
      </x:c>
      <x:c r="C6" s="48" t="n">
        <x:v>0.3333333333333333</x:v>
      </x:c>
      <x:c r="D6" s="48" t="n">
        <x:v>1</x:v>
      </x:c>
      <x:c r="E6" s="48" t="n">
        <x:v>3</x:v>
      </x:c>
    </x:row>
    <x:row r="7">
      <x:c r="A7" s="42" t="str">
        <x:v>C4_pH</x:v>
      </x:c>
      <x:c r="B7" s="48" t="n">
        <x:v>0.2</x:v>
      </x:c>
      <x:c r="C7" s="48" t="n">
        <x:v>0.2</x:v>
      </x:c>
      <x:c r="D7" s="48" t="n">
        <x:v>0.3333333333333333</x:v>
      </x:c>
      <x:c r="E7" s="48" t="n">
        <x:v>1</x:v>
      </x:c>
    </x:row>
    <x:row r="10">
      <x:c r="A10" s="14" t="str">
        <x:v>Input notes</x:v>
      </x:c>
      <x:c r="B10" s="14" t="str">
        <x:v>Recommended action</x:v>
      </x:c>
      <x:c r="C10" s="14" t="str">
        <x:v>Scale guide</x:v>
      </x:c>
    </x:row>
    <x:row r="11">
      <x:c r="A11" s="20" t="str">
        <x:v>These values are provisional literature-informed judgments. Revise after expert confirmation.</x:v>
      </x:c>
      <x:c r="B11" s="20" t="str">
        <x:v>Keep reciprocal values consistent. If A vs B = 3, then B vs A = 1/3.</x:v>
      </x:c>
      <x:c r="C11" s="20" t="str">
        <x:v>1=same importance; 2=low preference; 3=medium; 5=fairly important; 7=strongly; 9=absolutely.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4" t="str">
        <x:v>Saaty Scale</x:v>
      </x:c>
      <x:c r="B1" s="14" t="str">
        <x:v>Importance</x:v>
      </x:c>
      <x:c r="C1" s="14" t="str">
        <x:v>Triangular Fuzzy Number (l,m,u)</x:v>
      </x:c>
      <x:c r="D1" s="14" t="str">
        <x:v>Reciprocal TFN</x:v>
      </x:c>
    </x:row>
    <x:row r="2">
      <x:c r="A2" t="n">
        <x:v>1</x:v>
      </x:c>
      <x:c r="B2" t="str">
        <x:v>The same importance</x:v>
      </x:c>
      <x:c r="C2" t="str">
        <x:v>(1,1,1)</x:v>
      </x:c>
      <x:c r="D2" t="str">
        <x:v>(1,1,1)</x:v>
      </x:c>
    </x:row>
    <x:row r="3">
      <x:c r="A3" t="n">
        <x:v>2</x:v>
      </x:c>
      <x:c r="B3" t="str">
        <x:v>Low preference</x:v>
      </x:c>
      <x:c r="C3" t="str">
        <x:v>(1,2,3)</x:v>
      </x:c>
      <x:c r="D3" t="str">
        <x:v>(1/3,1/2,1)</x:v>
      </x:c>
    </x:row>
    <x:row r="4">
      <x:c r="A4" t="n">
        <x:v>3</x:v>
      </x:c>
      <x:c r="B4" t="str">
        <x:v>Medium important</x:v>
      </x:c>
      <x:c r="C4" t="str">
        <x:v>(2,3,4)</x:v>
      </x:c>
      <x:c r="D4" t="str">
        <x:v>(1/4,1/3,1/2)</x:v>
      </x:c>
    </x:row>
    <x:row r="5">
      <x:c r="A5" t="n">
        <x:v>4</x:v>
      </x:c>
      <x:c r="B5" t="str">
        <x:v>Intermediate preference</x:v>
      </x:c>
      <x:c r="C5" t="str">
        <x:v>(3,4,5)</x:v>
      </x:c>
      <x:c r="D5" t="str">
        <x:v>(1/5,1/4,1/3)</x:v>
      </x:c>
    </x:row>
    <x:row r="6">
      <x:c r="A6" t="n">
        <x:v>5</x:v>
      </x:c>
      <x:c r="B6" t="str">
        <x:v>Fairly important</x:v>
      </x:c>
      <x:c r="C6" t="str">
        <x:v>(4,5,6)</x:v>
      </x:c>
      <x:c r="D6" t="str">
        <x:v>(1/6,1/5,1/4)</x:v>
      </x:c>
    </x:row>
    <x:row r="7">
      <x:c r="A7" t="n">
        <x:v>6</x:v>
      </x:c>
      <x:c r="B7" t="str">
        <x:v>Intermediate preference</x:v>
      </x:c>
      <x:c r="C7" t="str">
        <x:v>(5,6,7)</x:v>
      </x:c>
      <x:c r="D7" t="str">
        <x:v>(1/7,1/6,1/5)</x:v>
      </x:c>
    </x:row>
    <x:row r="8">
      <x:c r="A8" t="n">
        <x:v>7</x:v>
      </x:c>
      <x:c r="B8" t="str">
        <x:v>Strongly important</x:v>
      </x:c>
      <x:c r="C8" t="str">
        <x:v>(6,7,8)</x:v>
      </x:c>
      <x:c r="D8" t="str">
        <x:v>(1/8,1/7,1/6)</x:v>
      </x:c>
    </x:row>
    <x:row r="9">
      <x:c r="A9" t="n">
        <x:v>8</x:v>
      </x:c>
      <x:c r="B9" t="str">
        <x:v>Intermediate preference</x:v>
      </x:c>
      <x:c r="C9" t="str">
        <x:v>(7,8,9)</x:v>
      </x:c>
      <x:c r="D9" t="str">
        <x:v>(1/9,1/8,1/7)</x:v>
      </x:c>
    </x:row>
    <x:row r="10">
      <x:c r="A10" t="n">
        <x:v>9</x:v>
      </x:c>
      <x:c r="B10" t="str">
        <x:v>Absolutely important</x:v>
      </x:c>
      <x:c r="C10" t="str">
        <x:v>(9,9,9)</x:v>
      </x:c>
      <x:c r="D10" t="str">
        <x:v>(1/9,1/9,1/9)</x:v>
      </x:c>
    </x:row>
  </x:sheetData>
  <x:pageMargins left="0.7" right="0.7" top="0.75" bottom="0.75" header="0.3" footer="0.3"/>
  <x:tableParts count="1">
    <x:tablePart xmlns:r="http://schemas.openxmlformats.org/officeDocument/2006/relationships" r:id="R5b1a479179c74d1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5" hidden="0" customWidth="1"/>
    <x:col min="4" max="4" width="24" hidden="0" customWidth="1"/>
    <x:col min="5" max="5" width="18" hidden="0" customWidth="1"/>
    <x:col min="6" max="6" width="16" hidden="0" customWidth="1"/>
    <x:col min="7" max="7" width="12" hidden="0" customWidth="1"/>
    <x:col min="8" max="8" width="22" hidden="0" customWidth="1"/>
    <x:col min="9" max="9" width="18" hidden="0" customWidth="1"/>
    <x:col min="10" max="10" width="55" hidden="0" customWidth="1"/>
  </x:cols>
  <x:sheetData>
    <x:row r="1">
      <x:c r="A1" s="14" t="str">
        <x:v>Code</x:v>
      </x:c>
      <x:c r="B1" s="14" t="str">
        <x:v>Indicator</x:v>
      </x:c>
      <x:c r="C1" s="14" t="str">
        <x:v>Group</x:v>
      </x:c>
      <x:c r="D1" s="14" t="str">
        <x:v>Global Weight (fill after Fuzzy AHP)</x:v>
      </x:c>
      <x:c r="E1" s="14" t="str">
        <x:v>Actual Value</x:v>
      </x:c>
      <x:c r="F1" s="14" t="str">
        <x:v>Unit</x:v>
      </x:c>
      <x:c r="G1" s="14" t="str">
        <x:v>Sub-index</x:v>
      </x:c>
      <x:c r="H1" s="14" t="str">
        <x:v>Arithmetic Contribution</x:v>
      </x:c>
      <x:c r="I1" s="14" t="str">
        <x:v>Geometric Factor</x:v>
      </x:c>
      <x:c r="J1" s="14" t="str">
        <x:v>Notes</x:v>
      </x:c>
    </x:row>
    <x:row r="2">
      <x:c r="A2" s="20" t="str">
        <x:v>A1</x:v>
      </x:c>
      <x:c r="B2" s="20" t="str">
        <x:v>Remaining capacity / overload status</x:v>
      </x:c>
      <x:c r="C2" s="20" t="str">
        <x:v>Capacity &amp; operational load</x:v>
      </x:c>
      <x:c r="D2" s="54" t="str"/>
      <x:c r="E2" s="20" t="str">
        <x:v>0 / overload</x:v>
      </x:c>
      <x:c r="F2" s="20" t="str">
        <x:v>-</x:v>
      </x:c>
      <x:c r="G2" s="55" t="n">
        <x:v>100</x:v>
      </x:c>
      <x:c r="H2" s="55" t="str">
        <x:f>IF(OR(D2="",G2=""),"",D2*G2)</x:f>
      </x:c>
      <x:c r="I2" s="55" t="str">
        <x:f>IF(OR(D2="",G2=""),"",G2^D2)</x:f>
      </x:c>
      <x:c r="J2" s="20" t="str">
        <x:v>TPA reported as overloaded and remaining capacity is 0.</x:v>
      </x:c>
    </x:row>
    <x:row r="3">
      <x:c r="A3" s="20" t="str">
        <x:v>A2</x:v>
      </x:c>
      <x:c r="B3" s="20" t="str">
        <x:v>Accumulated waste / used capacity</x:v>
      </x:c>
      <x:c r="C3" s="20" t="str">
        <x:v>Capacity &amp; operational load</x:v>
      </x:c>
      <x:c r="D3" s="54" t="str"/>
      <x:c r="E3" s="20" t="n">
        <x:v>421000</x:v>
      </x:c>
      <x:c r="F3" s="20" t="str">
        <x:v>ton</x:v>
      </x:c>
      <x:c r="G3" s="55" t="n">
        <x:v>75</x:v>
      </x:c>
      <x:c r="H3" s="55" t="str">
        <x:f>IF(OR(D3="",G3=""),"",D3*G3)</x:f>
      </x:c>
      <x:c r="I3" s="55" t="str">
        <x:f>IF(OR(D3="",G3=""),"",G3^D3)</x:f>
      </x:c>
      <x:c r="J3" s="20" t="str">
        <x:v>Use 421,000 ton as historical Linggasana baseline. Recent field value 80,811.00 still needs unit verification.</x:v>
      </x:c>
    </x:row>
    <x:row r="4">
      <x:c r="A4" s="20" t="str">
        <x:v>A3</x:v>
      </x:c>
      <x:c r="B4" s="20" t="str">
        <x:v>Waste pile height / depth of filling</x:v>
      </x:c>
      <x:c r="C4" s="20" t="str">
        <x:v>Capacity &amp; operational load</x:v>
      </x:c>
      <x:c r="D4" s="54" t="str"/>
      <x:c r="E4" s="20" t="n">
        <x:v>8</x:v>
      </x:c>
      <x:c r="F4" s="20" t="str">
        <x:v>m</x:v>
      </x:c>
      <x:c r="G4" s="55" t="n">
        <x:v>50</x:v>
      </x:c>
      <x:c r="H4" s="55" t="str">
        <x:f>IF(OR(D4="",G4=""),"",D4*G4)</x:f>
      </x:c>
      <x:c r="I4" s="55" t="str">
        <x:f>IF(OR(D4="",G4=""),"",G4^D4)</x:f>
      </x:c>
      <x:c r="J4" s="20" t="str">
        <x:v>Interview value is 8 m. Previous Linggasana paper noted 10–11 m as historical comparison.</x:v>
      </x:c>
    </x:row>
    <x:row r="5">
      <x:c r="A5" s="20" t="str">
        <x:v>A4</x:v>
      </x:c>
      <x:c r="B5" s="20" t="str">
        <x:v>Incoming waste pressure</x:v>
      </x:c>
      <x:c r="C5" s="20" t="str">
        <x:v>Capacity &amp; operational load</x:v>
      </x:c>
      <x:c r="D5" s="54" t="str"/>
      <x:c r="E5" s="20" t="n">
        <x:v>193</x:v>
      </x:c>
      <x:c r="F5" s="20" t="str">
        <x:v>% of actual treatment capacity</x:v>
      </x:c>
      <x:c r="G5" s="55" t="n">
        <x:v>100</x:v>
      </x:c>
      <x:c r="H5" s="55" t="str">
        <x:f>IF(OR(D5="",G5=""),"",D5*G5)</x:f>
      </x:c>
      <x:c r="I5" s="55" t="str">
        <x:f>IF(OR(D5="",G5=""),"",G5^D5)</x:f>
      </x:c>
      <x:c r="J5" s="20" t="str">
        <x:v>29 ton/day incoming divided by 15 ton/day actual treatment capacity ≈ 193%.</x:v>
      </x:c>
    </x:row>
    <x:row r="6">
      <x:c r="A6" s="20" t="str">
        <x:v>A5</x:v>
      </x:c>
      <x:c r="B6" s="20" t="str">
        <x:v>Treatment capacity effectiveness</x:v>
      </x:c>
      <x:c r="C6" s="20" t="str">
        <x:v>Capacity &amp; operational load</x:v>
      </x:c>
      <x:c r="D6" s="54" t="str"/>
      <x:c r="E6" s="20" t="n">
        <x:v>51.7</x:v>
      </x:c>
      <x:c r="F6" s="20" t="str">
        <x:v>% treated from incoming waste</x:v>
      </x:c>
      <x:c r="G6" s="55" t="n">
        <x:v>50</x:v>
      </x:c>
      <x:c r="H6" s="55" t="str">
        <x:f>IF(OR(D6="",G6=""),"",D6*G6)</x:f>
      </x:c>
      <x:c r="I6" s="55" t="str">
        <x:f>IF(OR(D6="",G6=""),"",G6^D6)</x:f>
      </x:c>
      <x:c r="J6" s="20" t="str">
        <x:v>15 ton/day actual treatment from about 29 ton/day incoming waste.</x:v>
      </x:c>
    </x:row>
    <x:row r="7">
      <x:c r="A7" s="20" t="str">
        <x:v>B1</x:v>
      </x:c>
      <x:c r="B7" s="20" t="str">
        <x:v>Organic / biodegradable fraction</x:v>
      </x:c>
      <x:c r="C7" s="20" t="str">
        <x:v>Waste characteristics</x:v>
      </x:c>
      <x:c r="D7" s="54" t="str"/>
      <x:c r="E7" s="20" t="n">
        <x:v>32.4</x:v>
      </x:c>
      <x:c r="F7" s="20" t="str">
        <x:v>%</x:v>
      </x:c>
      <x:c r="G7" s="55" t="n">
        <x:v>75</x:v>
      </x:c>
      <x:c r="H7" s="55" t="str">
        <x:f>IF(OR(D7="",G7=""),"",D7*G7)</x:f>
      </x:c>
      <x:c r="I7" s="55" t="str">
        <x:f>IF(OR(D7="",G7=""),"",G7^D7)</x:f>
      </x:c>
      <x:c r="J7" s="20" t="str">
        <x:v>9.16 ton/day organic from total 28.273 ton/day.</x:v>
      </x:c>
    </x:row>
    <x:row r="8">
      <x:c r="A8" s="20" t="str">
        <x:v>B2</x:v>
      </x:c>
      <x:c r="B8" s="20" t="str">
        <x:v>Residual fraction</x:v>
      </x:c>
      <x:c r="C8" s="20" t="str">
        <x:v>Waste characteristics</x:v>
      </x:c>
      <x:c r="D8" s="54" t="str"/>
      <x:c r="E8" s="20" t="n">
        <x:v>44.8</x:v>
      </x:c>
      <x:c r="F8" s="20" t="str">
        <x:v>%</x:v>
      </x:c>
      <x:c r="G8" s="55" t="n">
        <x:v>75</x:v>
      </x:c>
      <x:c r="H8" s="55" t="str">
        <x:f>IF(OR(D8="",G8=""),"",D8*G8)</x:f>
      </x:c>
      <x:c r="I8" s="55" t="str">
        <x:f>IF(OR(D8="",G8=""),"",G8^D8)</x:f>
      </x:c>
      <x:c r="J8" s="20" t="str">
        <x:v>13 ton/day residual from 29 ton/day incoming waste.</x:v>
      </x:c>
    </x:row>
    <x:row r="9">
      <x:c r="A9" s="20" t="str">
        <x:v>B3</x:v>
      </x:c>
      <x:c r="B9" s="20" t="str">
        <x:v>Inorganic / recyclable fraction not fully diverted</x:v>
      </x:c>
      <x:c r="C9" s="20" t="str">
        <x:v>Waste characteristics</x:v>
      </x:c>
      <x:c r="D9" s="54" t="str"/>
      <x:c r="E9" s="20" t="n">
        <x:v>67.6</x:v>
      </x:c>
      <x:c r="F9" s="20" t="str">
        <x:v>%</x:v>
      </x:c>
      <x:c r="G9" s="55" t="n">
        <x:v>75</x:v>
      </x:c>
      <x:c r="H9" s="55" t="str">
        <x:f>IF(OR(D9="",G9=""),"",D9*G9)</x:f>
      </x:c>
      <x:c r="I9" s="55" t="str">
        <x:f>IF(OR(D9="",G9=""),"",G9^D9)</x:f>
      </x:c>
      <x:c r="J9" s="20" t="str">
        <x:v>19.11 ton/day inorganic from total 28.273 ton/day. Keep at 75 unless diversion/recycling is confirmed low.</x:v>
      </x:c>
    </x:row>
    <x:row r="10">
      <x:c r="A10" s="20" t="str">
        <x:v>C1</x:v>
      </x:c>
      <x:c r="B10" s="20" t="str">
        <x:v>BOD inlet</x:v>
      </x:c>
      <x:c r="C10" s="20" t="str">
        <x:v>Leachate quality</x:v>
      </x:c>
      <x:c r="D10" s="54" t="str"/>
      <x:c r="E10" s="20" t="n">
        <x:v>438</x:v>
      </x:c>
      <x:c r="F10" s="20" t="str">
        <x:v>mg/L</x:v>
      </x:c>
      <x:c r="G10" s="55" t="n">
        <x:v>100</x:v>
      </x:c>
      <x:c r="H10" s="55" t="str">
        <x:f>IF(OR(D10="",G10=""),"",D10*G10)</x:f>
      </x:c>
      <x:c r="I10" s="55" t="str">
        <x:f>IF(OR(D10="",G10=""),"",G10^D10)</x:f>
      </x:c>
      <x:c r="J10" s="20" t="str">
        <x:v>Exceeds lab standard and IRBA BOD &gt;100 mg/L high sensitivity threshold.</x:v>
      </x:c>
    </x:row>
    <x:row r="11">
      <x:c r="A11" s="20" t="str">
        <x:v>C2</x:v>
      </x:c>
      <x:c r="B11" s="20" t="str">
        <x:v>COD inlet</x:v>
      </x:c>
      <x:c r="C11" s="20" t="str">
        <x:v>Leachate quality</x:v>
      </x:c>
      <x:c r="D11" s="54" t="str"/>
      <x:c r="E11" s="20" t="n">
        <x:v>774</x:v>
      </x:c>
      <x:c r="F11" s="20" t="str">
        <x:v>mg/L</x:v>
      </x:c>
      <x:c r="G11" s="55" t="n">
        <x:v>100</x:v>
      </x:c>
      <x:c r="H11" s="55" t="str">
        <x:f>IF(OR(D11="",G11=""),"",D11*G11)</x:f>
      </x:c>
      <x:c r="I11" s="55" t="str">
        <x:f>IF(OR(D11="",G11=""),"",G11^D11)</x:f>
      </x:c>
      <x:c r="J11" s="20" t="str">
        <x:v>Exceeds lab standard and IRBA COD &gt;500 mg/L high sensitivity threshold.</x:v>
      </x:c>
    </x:row>
    <x:row r="12">
      <x:c r="A12" s="20" t="str">
        <x:v>C3</x:v>
      </x:c>
      <x:c r="B12" s="20" t="str">
        <x:v>TSS inlet / adapted solid parameter</x:v>
      </x:c>
      <x:c r="C12" s="20" t="str">
        <x:v>Leachate quality</x:v>
      </x:c>
      <x:c r="D12" s="54" t="str"/>
      <x:c r="E12" s="20" t="n">
        <x:v>42</x:v>
      </x:c>
      <x:c r="F12" s="20" t="str">
        <x:v>mg/L</x:v>
      </x:c>
      <x:c r="G12" s="55" t="n">
        <x:v>25</x:v>
      </x:c>
      <x:c r="H12" s="55" t="str">
        <x:f>IF(OR(D12="",G12=""),"",D12*G12)</x:f>
      </x:c>
      <x:c r="I12" s="55" t="str">
        <x:f>IF(OR(D12="",G12=""),"",G12^D12)</x:f>
      </x:c>
      <x:c r="J12" s="20" t="str">
        <x:v>TSS used as adaptation because recent TDS was unavailable. Replace with TDS if available.</x:v>
      </x:c>
    </x:row>
    <x:row r="13">
      <x:c r="A13" s="20" t="str">
        <x:v>C4</x:v>
      </x:c>
      <x:c r="B13" s="20" t="str">
        <x:v>pH inlet</x:v>
      </x:c>
      <x:c r="C13" s="20" t="str">
        <x:v>Leachate quality</x:v>
      </x:c>
      <x:c r="D13" s="54" t="str"/>
      <x:c r="E13" s="20" t="n">
        <x:v>8.4</x:v>
      </x:c>
      <x:c r="F13" s="20" t="str">
        <x:v>-</x:v>
      </x:c>
      <x:c r="G13" s="55" t="n">
        <x:v>25</x:v>
      </x:c>
      <x:c r="H13" s="55" t="str">
        <x:f>IF(OR(D13="",G13=""),"",D13*G13)</x:f>
      </x:c>
      <x:c r="I13" s="55" t="str">
        <x:f>IF(OR(D13="",G13=""),"",G13^D13)</x:f>
      </x:c>
      <x:c r="J13" s="20" t="str">
        <x:v>pH remains within typical 6–9 regulatory range.</x:v>
      </x:c>
    </x:row>
    <x:row r="16">
      <x:c r="A16" s="14" t="str">
        <x:v>Metric</x:v>
      </x:c>
      <x:c r="B16" s="14" t="str">
        <x:v>Formula</x:v>
      </x:c>
      <x:c r="C16" s="14" t="str">
        <x:v>Result</x:v>
      </x:c>
    </x:row>
    <x:row r="17">
      <x:c r="A17" t="str">
        <x:v>Total Global Weight</x:v>
      </x:c>
      <x:c r="B17" t="str">
        <x:v>SUM(D2:D13)</x:v>
      </x:c>
      <x:c r="C17" s="52" t="str">
        <x:f>IF(COUNT(D2:D13)=0,"",SUM(D2:D13))</x:f>
      </x:c>
    </x:row>
    <x:row r="18">
      <x:c r="A18" t="str">
        <x:v>Risk Index - Weighted Arithmetic Mean</x:v>
      </x:c>
      <x:c r="B18" t="str">
        <x:v>SUM(H2:H13)</x:v>
      </x:c>
      <x:c r="C18" s="52" t="str">
        <x:f>IF(COUNT(D2:D13)&lt;12,"",SUM(H2:H13))</x:f>
      </x:c>
    </x:row>
    <x:row r="19">
      <x:c r="A19" t="str">
        <x:v>Risk Index - Weighted Geometric Mean</x:v>
      </x:c>
      <x:c r="B19" t="str">
        <x:v>PRODUCT(I2:I13)</x:v>
      </x:c>
      <x:c r="C19" s="52" t="str">
        <x:f>IF(COUNT(D2:D13)&lt;12,"",PRODUCT(I2:I13))</x:f>
      </x:c>
    </x:row>
    <x:row r="20">
      <x:c r="A20" t="str">
        <x:v>Suggested main result</x:v>
      </x:c>
      <x:c r="B20" t="str">
        <x:v>Use geometric mean after sensitivity/CR validation</x:v>
      </x:c>
      <x:c r="C20" t="str">
        <x:v>Geometric mean after weight validation</x:v>
      </x:c>
    </x:row>
    <x:row r="21">
      <x:c r="A21" t="str">
        <x:v>Risk category</x:v>
      </x:c>
      <x:c r="B21" t="str">
        <x:v>1-25 Low; 26-50 Moderate; 51-75 High; 76-100 Very High</x:v>
      </x:c>
      <x:c r="C21" t="str">
        <x:f>IF(C19="","",IF(C19&lt;=25,"Low",IF(C19&lt;=50,"Moderate",IF(C19&lt;=75,"High","Very High"))))</x:f>
      </x:c>
    </x:row>
  </x:sheetData>
  <x:pageMargins left="0.7" right="0.7" top="0.75" bottom="0.75" header="0.3" footer="0.3"/>
  <x:tableParts count="1">
    <x:tablePart xmlns:r="http://schemas.openxmlformats.org/officeDocument/2006/relationships" r:id="R27f6095994814f7e"/>
  </x:tableParts>
</x:worksheet>
</file>